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Movimientos" sheetId="1" r:id="rId4"/>
    <sheet name="Resumen y Control" sheetId="2" r:id="rId5"/>
  </sheets>
  <definedNames>
    <definedName name="_xlnm._FilterDatabase" localSheetId="0" hidden="1">'Movimientos'!$A$1:$E$42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<sst xmlns="http://schemas.openxmlformats.org/spreadsheetml/2006/main" uniqueCount="70">
  <si>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Fecha</t>
  </si>
  <si>
    <t>Etiqueta</t>
  </si>
  <si>
    <t>Contacto</t>
  </si>
  <si>
    <t>Importe</t>
  </si>
  <si>
    <t>Concepto / Etiqueta</t>
  </si>
  <si>
    <t>ISHOP MIXUP SATELITE PMU 940317114 ******0681 $ 28,499.00 Tasa Anual Tasa Anual Moratoria Tasa Mensual Dias Transcurridos Periodo Ordinaria en el Periodo 19.94 % 0.00 % 1.66 % 31 Del 03/01/26</t>
  </si>
  <si>
    <t>COSTCO SATELITE CME 910715UB9 ******0246 $ 4,602.46</t>
  </si>
  <si>
    <t>HOME DEPOT HDM 001017AS1 ******8072 $ 481.20</t>
  </si>
  <si>
    <t>HOME DEPOT HDM 001017AS1 ******2363 $ 330.00</t>
  </si>
  <si>
    <t>DISP. T. NEGOCIOS ******3022 $ 110,000.00</t>
  </si>
  <si>
    <t>DISP. T. NEGOCIOS ******4746 $ 15,000.00</t>
  </si>
  <si>
    <t>AMERICA CAR RENTAL CES 991203BM1 ******8275 $ 0.01</t>
  </si>
  <si>
    <t>AOHSSA AOH 7811279Q4 ******4100 $ 3,475.41</t>
  </si>
  <si>
    <t>7 ELEVEN PLAZA POLANCO SEM 980701STA ******0519 $ 158.00</t>
  </si>
  <si>
    <t>SAST ALVAREZ AAHS720209H40 ******7765 $ 2,000.00</t>
  </si>
  <si>
    <t>MERPAGO*LUPITA MAG 2105031W3 ******5394 $ 400.00</t>
  </si>
  <si>
    <t>DISP. T. NEGOCIOS ******8488 $ 30,000.00</t>
  </si>
  <si>
    <t>CESARSPIZZAGPEVICTORIA CPI 130617QB2 ******5383 $ 268.00</t>
  </si>
  <si>
    <t>DISP. T. NEGOCIOS ******7765 $ 200,000.00</t>
  </si>
  <si>
    <t>DISP. T. NEGOCIOS ******7180 $ 25,000.00</t>
  </si>
  <si>
    <t>FERRE COACALCO DIN 971119GG6 ******3724 $ 21,289.67</t>
  </si>
  <si>
    <t>BBV CAJERO 3916 ******2844 $ 5,000.00</t>
  </si>
  <si>
    <t>DISP. T. NEGOCIOS ******8207 $ 20,000.00</t>
  </si>
  <si>
    <t>7605626650DISPOS.EFECTIVO ******3139 $ 50,000.00</t>
  </si>
  <si>
    <t>SAN PABLO COACALCO PPL 961114GZ1 ******0411 $ 558.00 ENJOY SAFETY SA DE CV No. de Cliente C7456524</t>
  </si>
  <si>
    <t>BBV CAJERO 4308 ******8875 $ 6,000.00</t>
  </si>
  <si>
    <t>OXXOBEGONIA MEX CCO 8605231N4 ******2500 $ 122.00</t>
  </si>
  <si>
    <t>OXXOBEGONIA MEX CCO 8605231N4 ******2631 $ 96.00</t>
  </si>
  <si>
    <t>SERV MED BMG SATELI SMB 9805196L6 ******0544 $ 1,000.00</t>
  </si>
  <si>
    <t>PETRO7 GAS BODEGAS PET 040903DH1 ******0357 $ 959.60</t>
  </si>
  <si>
    <t>OXXO SATELITE CCO 8605231N4 ******0266 $ 108.00</t>
  </si>
  <si>
    <t>MERPAGO*LUPITA MAG 2105031W3 ******1807 $ 650.00</t>
  </si>
  <si>
    <t>VTA A BORDO VAEROBUS RIM 1411069L4 ******4852 $ 212.00</t>
  </si>
  <si>
    <t>OXXO CINTERMEX CCO 8605231N4 ******6949 $ 180.50</t>
  </si>
  <si>
    <t>7 ELEVEN LAZARLLOS SEM 980701STA ******9695 $ 55.00</t>
  </si>
  <si>
    <t>OXXO CINTERMEX CCO 8605231N4 ******6824 $ 131.00</t>
  </si>
  <si>
    <t>BBV CAJERO 4103 ******8269 $ 3,000.00</t>
  </si>
  <si>
    <t>HOME DEPOT HDM 001017AS1 ******3033 $ 27.54</t>
  </si>
  <si>
    <t>HOME DEPOT HDM 001017AS1 ******3546 $ 147.02</t>
  </si>
  <si>
    <t>HOME DEPOT HDM 001017AS1 ******5269 $ -21.70</t>
  </si>
  <si>
    <t>ESPERANZA COACALCO ETN 08021576A ******2397 $ 55.96</t>
  </si>
  <si>
    <t>ESPERANZA COACALCO ETN 08021576A ******1613 $ 79.00</t>
  </si>
  <si>
    <t>OXXOBEGONIA MEX CCO 8605231N4 ******8183 $ 129.00</t>
  </si>
  <si>
    <t>0031031008INTERN.PAGO TDC ******1518 $ -160,000.00 Iva :$0.00 Interes: $0.00 Comisiones:$ 0.00 Capital:$160,000.00 Capital de promoci(cid:4)n:$ 0.00 Pago excedente:$0.00 "Si estas adherido al Plan de Apoyo Covid-19, puedes consultar los Terminos y Condiciones en la pagina www.bbva.mx/plandeapoyo, en la app BBVA M(cid:3)xico y en bbva.mx portal privado" Tabla / Gr(cid:2)fico de estado de cuenta (Linea de Credito $ 700,000.00 ) Cr(cid:3)dito disponible $ 333,330.46 Sobregriro $ 0.00 Saldo anterior $ -9,186.76 Cargos $ 530,014.37 Intereses $ 5,133.54 Comisiones $ 0.00 ACLARACIONES . Tiene 90 d(cid:2)as naturales contados a partir de la fecha de corte o de la aplicaci(cid:4)n de la operaci(cid:4)n para presentar su aclaraci(cid:4)n, llamando a los tel(cid:3)fonos de L(cid:2)nea BBVA. . Para cambios de domicilio, reportes de robo o extrav(cid:2)o, solicitud de estados de cuenta, consulta de saldos, m(cid:2)nimo a pagar, incremento o decremento de l(cid:2)nea de cr(cid:3)dito y aclaraciones, llame a la L(cid:2)nea BBVA. . 5552262663 CIUD AD DE MEXICO 5552262663 LARGA DISTANCIA SIN COSTO LEYENDAS DE ADVERTENCIA "Al ser tu cr(cid:3)dito de tasa variable, los intereses pueden aumentar." "Incumplir tus obligaciones te puede generar comisiones e intereses moratorios." "Contratar cr(cid:3)ditos por arriba de tu capacidad de pago puede afectar tu historial crediticio." "Pagar s(cid:4)lo el m(cid:2)nimo aumenta el tiempo de pago y el costo de la deuda." "El avalista, obligado solidario o coacreditado responder(cid:1) como obligado principal frente a la Entidad financiera." UNIDAD ESPECIALIZADA DE ATENCION A CLIENTES (UNE) . BBVA, recibe las consultas, reclamaciones o aclaraciones, en su Unidad Especializada de Atenci(cid:4)n a Clientes(UNE), ubicada en Lago Alberto 320 (entrada por Mariano Escobedo 303), Colonia Granada, C. P. 11320, Alcald(cid:2)a Miguel Hidalgo, Ciudad de M(cid:3)xico, M(cid:3)xico y por su correo une.mx@bbva.com o al tel(cid:3)fono 55 19 98 80 39, as(cid:2) como en cualquiera de sus sucursales u oficinas. En caso de no obtener una respuesta satisfactoria, podr(cid:1) acudir a la Comisi(cid:4)n Nacional para la Protecci(cid:4)n y Defensa de los Usuarios de Servicios Financieros, consulte la p(cid:1)gina electr(cid:4)nica en internet www.condusef.gob.mx y n(cid:5)mero telef(cid:4)nico 55 5340 0999. COMISION NACIONAL PARA LA PROTECCION Y DEFENSA DE LOS USUARIOS DE SERVICIOS FINANCIEROS (CONDUSEF) . En caso de no obtener una respuesta satisfactoria, podr(cid:1) acudir a la CONDUSEF, correo electr(cid:4)nico asesoria@condusef.gob.mx, tel(cid:3)fono 55 5340 09 99, con domicilio en Insurgentes Sur No.762, Colonia del Valle, Alcald(cid:2)a Benito Ju(cid:1)rez, C(cid:4)digo Postal 03100, Ciudad de M(cid:3)xico, M(cid:3)xico o consultar la p(cid:1)gina electr(cid:4)nica en internet www.condusef.gob.mx En caso de que la fecha l(cid:2)mite de pago corresponda a un d(cid:2)a inh(cid:1)bil, el pago podr(cid:1) realizarse el siguiente d(cid:2)a h(cid:1)bil Bancario sin cargo adicional. ENJOY SAFETY SA DE CV No. de Cliente C7456524 Glosario de Abreviaturas: TIIEF : Tasa de Inter(cid:3)s Interbancaria de Equilibrio de CAT : Costo Anual Total Fondeo compuesta por adelantado a 28 d(cid:2)as I.V.A. : Impuesto al Valor Agregado R.F.C: Registro Federal de Contribuyentes EFEC: Efectivo DISP: Disposici(cid:4)n PROMOC: Promoci(cid:4)n TRASP: Traspaso PPF: Plan de Pagos Fijos REVOLV: Revolvente CF: Compra con tarjeta Fisica CD: Compra Digital LCDigital: Linea de Cr(cid:3)dito Digital PyME EFI: Efectivo Inmediato SPEI: Sistema de Pagos Electr(cid:4)nicos Interbancarios CLABE: Clave Bancaria Estandarizada Nombre del Receptor: ENJOY SAFETY C(cid:4)digo Postal de Domicilio Fiscal: 55710 R(cid:3)gimen Fiscal: 601 - General de Ley Personas Morales Uso de CFDI: G03 - Gastos en general. Exportaci(cid:4)n: 01 - No aplica Folio Fiscal: Certificado: 10EA6F42-D558-4A4B-91CC-E2D49B3CD23D 00001000000719019167 Sello Digital: RpIHa0iS1O1Xtxe08JEGG0VlXmaezDuX8EP4GJFocjbKipApgokCjNei2nDSSxi5urV6lGyAV3vI5AyT8ZUlmBqps/Egr4K0W8W8gybAhZQfmljPhe 39vuzqOW0jCA46105zFNb9bU4mLOX0BODXRoxKYkdr2IoF3Zi2zQEkOUdDbIPa3iNak/lj6VNXT/ST5uUifmEUgxdO3j2HPt/bVQQVV0rrSkfCqo hZE1YySTFd979Th6Ip+s6Fztt6Vv+2mwPRTKu9TVtaTXo1S3ufQkm7ikVqTIMTwbIj/mB1v4insBlY8YrSqyAjijX5ms0ZuOc3dSDFvBcHrqO0BGq2 3A== Sello del SAT: iPKNg82QsscA2qLJxP56e2a/ZkJFh5hF2HsnB0jTIGUHeVy4Qg3F51exeA+7Ox9/f3E3cN1lueZwvz9cv+c/POB8A/G2zxjyuIOraMeuh1wZs9Gjw3 bJxuz8ahURZDkBtzp/CXCatp98JlstgEa3QsNtVhLuRx2prjhARrtMWBmX+pLvVMHn9sMF2JE26PqFXZgdESag3iiXXmdSXCL9A33YeFzLUkCb keqZcgWieA2Syd9dYc1KJZFfysdne8khre2BQgzsru/KrHQ0Ay4PUnjGwDCZ1uXanPuHUIqAdtX5mHBe3VDbUqeU8NjVgTJVsx+ZBXWignZ5ww tSlqAR4w== No. de Serie del Certificado del SAT: 00001000000710052019 Fecha y hora de certificaci(cid:4)n: 2026-01-31T07:09:59 Cadena Original del Complemento de Certificaci(cid:4)n Digital del SAT: ||1.1|10EA6F42-D558-4A4B-91CC-E2D49B3CD23D|2026-01-31T07:09:59|RpIHa0iS1O1Xtxe08JEGG0VlXmaezDuX8EP4GJFocjbKipApgokCj Nei2nDSSxi5urV6lGyAV3vI5AyT8ZUlmBqps/Egr4K0W8W8gybAhZQfmljPhe39vuzqOW0jCA46105zFNb9bU4mLOX0BODXRoxKYkdr2IoF3Zi2z QEkOUdDbIPa3iNak/lj6VNXT/ST5uUifmEUgxdO3j2HPt/bVQQVV0rrSkfCqohZE1YySTFd979Th6Ip+s6Fztt6Vv+2mwPRTKu9TVtaTXo1S3ufQk m7ikVqTIMTwbIj/mB1v4insBlY8YrSqyAjijX5ms0ZuOc3dSDFvBcHrqO0BGq23A==|00001000000710052019|| Emitido en 06600 a 31 de enero del 2026 a las 06:09:46 Este documento es una representaci(cid:4)n impresa de un CFDI. (cid:128)(cid:66)(cid:94)(cid:94)(cid:94)(cid:66)(cid:128)(cid:1)(cid:94)(cid:45)(cid:62)(cid:127)(cid:32)(cid:123)(cid:94)(cid:99)(cid:4)(cid:15)(cid:52)(cid:25)(cid:6)(cid:1)(cid:56)(cid:13)(cid:6)(cid:69)(cid:56)(cid:71)(cid:68)(cid:57)(cid:100)(cid:121)(cid:52)(cid:127)(cid:50)(cid:25)(cid:94)(cid:95)(cid:36)(cid:57)(cid:114)(cid:1)(cid:128)(cid:66)(cid:94)(cid:94)(cid:94)(cid:66)(cid:128) Ponemos a su disposici(cid:4)n el archivo XML correspondiente a este documento, solicitarlo en L(cid:1)nea BBVA. (cid:36)(cid:33)(cid:39)(cid:38)(cid:8)(cid:25)(cid:43)(cid:28)(cid:36)(cid:98)(cid:78)(cid:42)(cid:1)(cid:66)(cid:74)(cid:64)(cid:2)(cid:45)(cid:19)(cid:2)(cid:105)(cid:64)(cid:120)(cid:33)(cid:48)(cid:60)(cid:100)(cid:46)(cid:41)(cid:7)(cid:93)(cid:125)(cid:6)(cid:28)(cid:47)(cid:27)(cid:87)(cid:114)(cid:12)(cid:75)(cid:103)(cid:61)(cid:17)(cid:8)(cid:62)(cid:54)(cid:39)(cid:5)(cid:56) (cid:58)(cid:43)(cid:89)(cid:61)(cid:1)(cid:66)(cid:86)(cid:57)(cid:64)(cid:38)(cid:50)(cid:101)(cid:31)(cid:125)(cid:54)(cid:6)(cid:62)(cid:96)(cid:44)(cid:123)(cid:103)(cid:14)(cid:41)(cid:93)(cid:99)(cid:41)(cid:87)(cid:10)(cid:108)(cid:23)(cid:66)(cid:47)(cid:49)(cid:52)(cid:47)(cid:124)(cid:7)(cid:77)(cid:103)(cid:113)(cid:125)(cid:28)(cid:119)(cid:85)(cid:85)(cid:50)(cid:93)(cid:69)(cid:39) (cid:7)(cid:16)(cid:20)(cid:9)(cid:128)(cid:36)(cid:43)(cid:35)(cid:127)(cid:19)(cid:84)(cid:89)(cid:95)(cid:4)(cid:49)(cid:109)(cid:19)(cid:18)(cid:78)(cid:56)(cid:39)(cid:89)(cid:64)(cid:35)(cid:107)(cid:36)(cid:64)(cid:100)(cid:72)(cid:56)(cid:99)(cid:73)(cid:54)(cid:3)(cid:50)(cid:9)(cid:109)(cid:83)(cid:15)(cid:3)(cid:63)(cid:99)(cid:107)(cid:35)(cid:127)(cid:66)(cid:61)(cid:73)(cid:13) (cid:121)(cid:37)(cid:121)(cid:128)(cid:100)(cid:128)(cid:86)(cid:48)(cid:39)(cid:114)(cid:95)(cid:74)(cid:77)(cid:26)(cid:89)(cid:64)(cid:25)(cid:115)(cid:18)(cid:10)(cid:118)(cid:13)(cid:74)(cid:24)(cid:95)(cid:117)(cid:36)(cid:104)(cid:47)(cid:110)(cid:72)(cid:74)(cid:100)(cid:56)(cid:126)(cid:55)(cid:19)(cid:96)(cid:29)(cid:9)(cid:48)(cid:99)(cid:25)(cid:124)(cid:14)(cid:10)(cid:120)(cid:121)(cid:55) (cid:35)(cid:31)(cid:55)(cid:5)(cid:33)(cid:9)(cid:43)(cid:55)(cid:52)(cid:118)(cid:27)(cid:57)(cid:103)(cid:101)(cid:116)(cid:14)(cid:74)(cid:51)(cid:78)(cid:97)(cid:19)(cid:45)(cid:96)(cid:59)(cid:7)(cid:23)(cid:88)(cid:14)(cid:13)(cid:111)(cid:107)(cid:33)(cid:79)(cid:18)(cid:2)(cid:34)(cid:101)(cid:17)(cid:25)(cid:98)(cid:80)(cid:23)(cid:67)(cid:27)(cid:60)(cid:54)(cid:107)(cid:92)(cid:22) (cid:128)(cid:66)(cid:94)(cid:94)(cid:94)(cid:66)(cid:128)(cid:1)(cid:16)(cid:2)(cid:87)(cid:15)(cid:72)(cid:60)(cid:39)(cid:99)(cid:30)(cid:11)(cid:78)(cid:121)(cid:43)(cid:1)(cid:115)(cid:27)(cid:84)(cid:21)(cid:113)(cid:88)(cid:61)(cid:103)(cid:45)(cid:89)(cid:7)(cid:82)(cid:8)(cid:119)(cid:36)(cid:111)(cid:98)(cid:4)(cid:121)(cid:19)(cid:89)(cid:24)(cid:127)(cid:51)(cid:72)(cid:54)(cid:70) (S(cid:1)lo aplica para personas F(cid:2)sicas) Estimado cliente:</t>
  </si>
  <si>
    <t>Intereses Ordinarios (sin IVA)</t>
  </si>
  <si>
    <t>I.V.A. (sobre intereses)</t>
  </si>
  <si>
    <t>CONCILIACIÓN Y CONTROL DE ESTADO DE CUENTA</t>
  </si>
  <si>
    <t>Banco:</t>
  </si>
  <si>
    <t>BBVA TC</t>
  </si>
  <si>
    <t>Cuenta:</t>
  </si>
  <si>
    <t xml:space="preserve">4555133002016814
</t>
  </si>
  <si>
    <t>CLABE:</t>
  </si>
  <si>
    <t>012975175032889386</t>
  </si>
  <si>
    <t>Periodo Inicio:</t>
  </si>
  <si>
    <t>2026-01-03</t>
  </si>
  <si>
    <t>Periodo Fin:</t>
  </si>
  <si>
    <t>2026-02-02</t>
  </si>
  <si>
    <t>Fecha Exportación:</t>
  </si>
  <si>
    <t>2026-06-08 05:08</t>
  </si>
  <si>
    <t>Métrica de Control</t>
  </si>
  <si>
    <t>PDF (Resumen)</t>
  </si>
  <si>
    <t>Calculado (Líneas)</t>
  </si>
  <si>
    <t>Diferencia</t>
  </si>
  <si>
    <t>Resultado</t>
  </si>
  <si>
    <t>Total Cargos</t>
  </si>
  <si>
    <t>Total Abonos</t>
  </si>
  <si>
    <t>Saldo Inicial</t>
  </si>
  <si>
    <t>N/A</t>
  </si>
  <si>
    <t>-</t>
  </si>
  <si>
    <t>Saldo Final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</si>
</sst>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$#,##0.0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1F4E78"/>
      <name val="Calibri"/>
    </font>
    <font>
      <b val="1"/>
      <i val="0"/>
      <strike val="0"/>
      <u val="none"/>
      <sz val="11"/>
      <color rgb="FF595959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2F5597"/>
        <bgColor rgb="FF000000"/>
      </patternFill>
    </fill>
  </fills>
  <borders count="10">
    <border>
      <left/>
      <right/>
      <top/>
      <bottom/>
      <diagonal/>
    </border>
    <border>
      <left style="medium">
        <color rgb="FF595959"/>
      </left>
      <right style="thin">
        <color rgb="FFD9D9D9"/>
      </right>
      <top style="medium">
        <color rgb="FF595959"/>
      </top>
      <bottom style="thin">
        <color rgb="FFD9D9D9"/>
      </bottom>
      <diagonal/>
    </border>
    <border>
      <left style="medium">
        <color rgb="FF59595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59595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595959"/>
      </right>
      <top style="medium">
        <color rgb="FF595959"/>
      </top>
      <bottom style="thin">
        <color rgb="FFD9D9D9"/>
      </bottom>
      <diagonal/>
    </border>
    <border>
      <left style="thin">
        <color rgb="FFD9D9D9"/>
      </left>
      <right style="medium">
        <color rgb="FF595959"/>
      </right>
      <top style="thin">
        <color rgb="FFD9D9D9"/>
      </top>
      <bottom style="thin">
        <color rgb="FFD9D9D9"/>
      </bottom>
      <diagonal/>
    </border>
    <border>
      <left style="medium">
        <color rgb="FF595959"/>
      </left>
      <right style="thin">
        <color rgb="FFD9D9D9"/>
      </right>
      <top style="thin">
        <color rgb="FFD9D9D9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  <border>
      <left style="thin">
        <color rgb="FFD9D9D9"/>
      </left>
      <right style="medium">
        <color rgb="FF59595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0"/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165" fillId="0" borderId="4" applyFont="0" applyNumberFormat="1" applyFill="0" applyBorder="1" applyAlignment="1">
      <alignment horizontal="right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0"/>
    <xf xfId="0" fontId="0" numFmtId="165" fillId="0" borderId="8" applyFont="0" applyNumberFormat="1" applyFill="0" applyBorder="1" applyAlignment="1">
      <alignment horizontal="right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42"/>
  <sheetViews>
    <sheetView tabSelected="0" workbookViewId="0" showGridLines="true" showRowColHeaders="1">
      <selection activeCell="D42" sqref="D42"/>
    </sheetView>
  </sheetViews>
  <sheetFormatPr defaultRowHeight="14.4" outlineLevelRow="0" outlineLevelCol="0"/>
  <cols>
    <col min="1" max="1" width="15.139" bestFit="true" customWidth="true" style="0"/>
    <col min="2" max="2" width="15.282" bestFit="true" customWidth="true" style="0"/>
    <col min="3" max="3" width="15.282" bestFit="true" customWidth="true" style="0"/>
    <col min="4" max="4" width="15.282" bestFit="true" customWidth="true" style="0"/>
    <col min="5" max="5" width="9884.729" bestFit="true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46025.0</v>
      </c>
      <c r="D2" s="3">
        <v>-28499.0</v>
      </c>
      <c r="E2" t="s">
        <v>5</v>
      </c>
    </row>
    <row r="3" spans="1:5">
      <c r="A3" s="2">
        <v>46025.0</v>
      </c>
      <c r="D3" s="3">
        <v>-4602.46000000000004</v>
      </c>
      <c r="E3" t="s">
        <v>6</v>
      </c>
    </row>
    <row r="4" spans="1:5">
      <c r="A4" s="2">
        <v>46025.0</v>
      </c>
      <c r="D4" s="3">
        <v>-481.19999999999999</v>
      </c>
      <c r="E4" t="s">
        <v>7</v>
      </c>
    </row>
    <row r="5" spans="1:5">
      <c r="A5" s="2">
        <v>46026.0</v>
      </c>
      <c r="D5" s="3">
        <v>-330.0</v>
      </c>
      <c r="E5" t="s">
        <v>8</v>
      </c>
    </row>
    <row r="6" spans="1:5">
      <c r="A6" s="2">
        <v>46028.0</v>
      </c>
      <c r="D6" s="3">
        <v>-110000.0</v>
      </c>
      <c r="E6" t="s">
        <v>9</v>
      </c>
    </row>
    <row r="7" spans="1:5">
      <c r="A7" s="2">
        <v>46030.0</v>
      </c>
      <c r="D7" s="3">
        <v>-15000.0</v>
      </c>
      <c r="E7" t="s">
        <v>10</v>
      </c>
    </row>
    <row r="8" spans="1:5">
      <c r="A8" s="2">
        <v>46030.0</v>
      </c>
      <c r="D8" s="3">
        <v>-0.01</v>
      </c>
      <c r="E8" t="s">
        <v>11</v>
      </c>
    </row>
    <row r="9" spans="1:5">
      <c r="A9" s="2">
        <v>46031.0</v>
      </c>
      <c r="D9" s="3">
        <v>-3475.40999999999985</v>
      </c>
      <c r="E9" t="s">
        <v>12</v>
      </c>
    </row>
    <row r="10" spans="1:5">
      <c r="A10" s="2">
        <v>46031.0</v>
      </c>
      <c r="D10" s="3">
        <v>-158.0</v>
      </c>
      <c r="E10" t="s">
        <v>13</v>
      </c>
    </row>
    <row r="11" spans="1:5">
      <c r="A11" s="2">
        <v>46031.0</v>
      </c>
      <c r="D11" s="3">
        <v>-2000.0</v>
      </c>
      <c r="E11" t="s">
        <v>14</v>
      </c>
    </row>
    <row r="12" spans="1:5">
      <c r="A12" s="2">
        <v>46034.0</v>
      </c>
      <c r="D12" s="3">
        <v>-400.0</v>
      </c>
      <c r="E12" t="s">
        <v>15</v>
      </c>
    </row>
    <row r="13" spans="1:5">
      <c r="A13" s="2">
        <v>46035.0</v>
      </c>
      <c r="D13" s="3">
        <v>-30000.0</v>
      </c>
      <c r="E13" t="s">
        <v>16</v>
      </c>
    </row>
    <row r="14" spans="1:5">
      <c r="A14" s="2">
        <v>46035.0</v>
      </c>
      <c r="D14" s="3">
        <v>-268.0</v>
      </c>
      <c r="E14" t="s">
        <v>17</v>
      </c>
    </row>
    <row r="15" spans="1:5">
      <c r="A15" s="2">
        <v>46036.0</v>
      </c>
      <c r="D15" s="3">
        <v>-200000.0</v>
      </c>
      <c r="E15" t="s">
        <v>18</v>
      </c>
    </row>
    <row r="16" spans="1:5">
      <c r="A16" s="2">
        <v>46037.0</v>
      </c>
      <c r="D16" s="3">
        <v>-25000.0</v>
      </c>
      <c r="E16" t="s">
        <v>19</v>
      </c>
    </row>
    <row r="17" spans="1:5">
      <c r="A17" s="2">
        <v>46037.0</v>
      </c>
      <c r="D17" s="3">
        <v>-21289.66999999999825</v>
      </c>
      <c r="E17" t="s">
        <v>20</v>
      </c>
    </row>
    <row r="18" spans="1:5">
      <c r="A18" s="2">
        <v>46038.0</v>
      </c>
      <c r="D18" s="3">
        <v>-5000.0</v>
      </c>
      <c r="E18" t="s">
        <v>21</v>
      </c>
    </row>
    <row r="19" spans="1:5">
      <c r="A19" s="2">
        <v>46038.0</v>
      </c>
      <c r="D19" s="3">
        <v>-20000.0</v>
      </c>
      <c r="E19" t="s">
        <v>22</v>
      </c>
    </row>
    <row r="20" spans="1:5">
      <c r="A20" s="2">
        <v>46039.0</v>
      </c>
      <c r="D20" s="3">
        <v>-50000.0</v>
      </c>
      <c r="E20" t="s">
        <v>23</v>
      </c>
    </row>
    <row r="21" spans="1:5">
      <c r="A21" s="2">
        <v>46040.0</v>
      </c>
      <c r="D21" s="3">
        <v>-558.0</v>
      </c>
      <c r="E21" t="s">
        <v>24</v>
      </c>
    </row>
    <row r="22" spans="1:5">
      <c r="A22" s="2">
        <v>46041.0</v>
      </c>
      <c r="D22" s="3">
        <v>-6000.0</v>
      </c>
      <c r="E22" t="s">
        <v>25</v>
      </c>
    </row>
    <row r="23" spans="1:5">
      <c r="A23" s="2">
        <v>46042.0</v>
      </c>
      <c r="D23" s="3">
        <v>-122.0</v>
      </c>
      <c r="E23" t="s">
        <v>26</v>
      </c>
    </row>
    <row r="24" spans="1:5">
      <c r="A24" s="2">
        <v>46044.0</v>
      </c>
      <c r="D24" s="3">
        <v>-96.0</v>
      </c>
      <c r="E24" t="s">
        <v>27</v>
      </c>
    </row>
    <row r="25" spans="1:5">
      <c r="A25" s="2">
        <v>46044.0</v>
      </c>
      <c r="D25" s="3">
        <v>-1000.0</v>
      </c>
      <c r="E25" t="s">
        <v>28</v>
      </c>
    </row>
    <row r="26" spans="1:5">
      <c r="A26" s="2">
        <v>46044.0</v>
      </c>
      <c r="D26" s="3">
        <v>-959.60000000000002</v>
      </c>
      <c r="E26" t="s">
        <v>29</v>
      </c>
    </row>
    <row r="27" spans="1:5">
      <c r="A27" s="2">
        <v>46044.0</v>
      </c>
      <c r="D27" s="3">
        <v>-108.0</v>
      </c>
      <c r="E27" t="s">
        <v>30</v>
      </c>
    </row>
    <row r="28" spans="1:5">
      <c r="A28" s="2">
        <v>46044.0</v>
      </c>
      <c r="D28" s="3">
        <v>-650.0</v>
      </c>
      <c r="E28" t="s">
        <v>31</v>
      </c>
    </row>
    <row r="29" spans="1:5">
      <c r="A29" s="2">
        <v>46045.0</v>
      </c>
      <c r="D29" s="3">
        <v>-212.0</v>
      </c>
      <c r="E29" t="s">
        <v>32</v>
      </c>
    </row>
    <row r="30" spans="1:5">
      <c r="A30" s="2">
        <v>46046.0</v>
      </c>
      <c r="D30" s="3">
        <v>-180.5</v>
      </c>
      <c r="E30" t="s">
        <v>33</v>
      </c>
    </row>
    <row r="31" spans="1:5">
      <c r="A31" s="2">
        <v>46046.0</v>
      </c>
      <c r="D31" s="3">
        <v>-55.0</v>
      </c>
      <c r="E31" t="s">
        <v>34</v>
      </c>
    </row>
    <row r="32" spans="1:5">
      <c r="A32" s="2">
        <v>46046.0</v>
      </c>
      <c r="D32" s="3">
        <v>-131.0</v>
      </c>
      <c r="E32" t="s">
        <v>35</v>
      </c>
    </row>
    <row r="33" spans="1:5">
      <c r="A33" s="2">
        <v>46047.0</v>
      </c>
      <c r="D33" s="3">
        <v>-3000.0</v>
      </c>
      <c r="E33" t="s">
        <v>36</v>
      </c>
    </row>
    <row r="34" spans="1:5">
      <c r="A34" s="2">
        <v>46050.0</v>
      </c>
      <c r="D34" s="3">
        <v>-27.54</v>
      </c>
      <c r="E34" t="s">
        <v>37</v>
      </c>
    </row>
    <row r="35" spans="1:5">
      <c r="A35" s="2">
        <v>46050.0</v>
      </c>
      <c r="D35" s="3">
        <v>-147.02000000000001</v>
      </c>
      <c r="E35" t="s">
        <v>38</v>
      </c>
    </row>
    <row r="36" spans="1:5">
      <c r="A36" s="2">
        <v>46050.0</v>
      </c>
      <c r="D36" s="3">
        <v>21.7</v>
      </c>
      <c r="E36" t="s">
        <v>39</v>
      </c>
    </row>
    <row r="37" spans="1:5">
      <c r="A37" s="2">
        <v>46051.0</v>
      </c>
      <c r="D37" s="3">
        <v>-55.96</v>
      </c>
      <c r="E37" t="s">
        <v>40</v>
      </c>
    </row>
    <row r="38" spans="1:5">
      <c r="A38" s="2">
        <v>46051.0</v>
      </c>
      <c r="D38" s="3">
        <v>-79.0</v>
      </c>
      <c r="E38" t="s">
        <v>41</v>
      </c>
    </row>
    <row r="39" spans="1:5">
      <c r="A39" s="2">
        <v>46051.0</v>
      </c>
      <c r="D39" s="3">
        <v>-129.0</v>
      </c>
      <c r="E39" t="s">
        <v>42</v>
      </c>
    </row>
    <row r="40" spans="1:5">
      <c r="A40" s="2">
        <v>46052.0</v>
      </c>
      <c r="D40" s="3">
        <v>160000.0</v>
      </c>
      <c r="E40" t="s">
        <v>43</v>
      </c>
    </row>
    <row r="41" spans="1:5">
      <c r="A41" s="2">
        <v>46055.0</v>
      </c>
      <c r="D41" s="3">
        <v>-5133.53999999999996</v>
      </c>
      <c r="E41" t="s">
        <v>44</v>
      </c>
    </row>
    <row r="42" spans="1:5">
      <c r="A42" s="2">
        <v>46055.0</v>
      </c>
      <c r="D42" s="3">
        <v>-730.090000000000032</v>
      </c>
      <c r="E42" t="s">
        <v>45</v>
      </c>
    </row>
  </sheetData>
  <autoFilter ref="A1:E4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3"/>
  <sheetViews>
    <sheetView tabSelected="1" workbookViewId="0" showGridLines="true" showRowColHeaders="1">
      <selection activeCell="B13" sqref="B13:F13"/>
    </sheetView>
  </sheetViews>
  <sheetFormatPr defaultRowHeight="14.4" outlineLevelRow="0" outlineLevelCol="0"/>
  <cols>
    <col min="2" max="2" width="24.565" bestFit="true" customWidth="true" style="0"/>
    <col min="3" max="3" width="22.28" bestFit="true" customWidth="true" style="0"/>
    <col min="4" max="4" width="24.565" bestFit="true" customWidth="true" style="0"/>
    <col min="5" max="5" width="22.28" bestFit="true" customWidth="true" style="0"/>
    <col min="6" max="6" width="19.995" bestFit="true" customWidth="true" style="0"/>
  </cols>
  <sheetData>
    <row r="2" spans="1:6">
      <c r="B2" s="4" t="s">
        <v>46</v>
      </c>
    </row>
    <row r="4" spans="1:6">
      <c r="B4" s="5" t="s">
        <v>47</v>
      </c>
      <c r="C4" t="s">
        <v>48</v>
      </c>
      <c r="E4" s="5" t="s">
        <v>53</v>
      </c>
      <c r="F4" t="s">
        <v>54</v>
      </c>
    </row>
    <row r="5" spans="1:6">
      <c r="B5" s="5" t="s">
        <v>49</v>
      </c>
      <c r="C5" t="s">
        <v>50</v>
      </c>
      <c r="E5" s="5" t="s">
        <v>55</v>
      </c>
      <c r="F5" t="s">
        <v>56</v>
      </c>
    </row>
    <row r="6" spans="1:6">
      <c r="B6" s="5" t="s">
        <v>51</v>
      </c>
      <c r="C6" t="s">
        <v>52</v>
      </c>
      <c r="E6" s="5" t="s">
        <v>57</v>
      </c>
      <c r="F6" t="s">
        <v>58</v>
      </c>
    </row>
    <row r="9" spans="1:6" customHeight="1" ht="22">
      <c r="B9" s="6" t="s">
        <v>59</v>
      </c>
      <c r="C9" s="8" t="s">
        <v>60</v>
      </c>
      <c r="D9" s="8" t="s">
        <v>61</v>
      </c>
      <c r="E9" s="8" t="s">
        <v>62</v>
      </c>
      <c r="F9" s="10" t="s">
        <v>63</v>
      </c>
    </row>
    <row r="10" spans="1:6">
      <c r="B10" s="7" t="s">
        <v>64</v>
      </c>
      <c r="C10" s="9">
        <v>535878.0</v>
      </c>
      <c r="D10" s="9">
        <v>535878.0</v>
      </c>
      <c r="E10" s="9">
        <f>ABS(C10-D10)</f>
        <v>0</v>
      </c>
      <c r="F10" s="11" t="str">
        <f>IF(E10&lt;0.05,"OK","Diferencia")</f>
        <v>OK</v>
      </c>
    </row>
    <row r="11" spans="1:6">
      <c r="B11" s="7" t="s">
        <v>65</v>
      </c>
      <c r="C11" s="9">
        <v>160021.70000000001164</v>
      </c>
      <c r="D11" s="9">
        <v>160021.70000000001164</v>
      </c>
      <c r="E11" s="9">
        <f>ABS(C11-D11)</f>
        <v>0</v>
      </c>
      <c r="F11" s="11" t="str">
        <f>IF(E11&lt;0.05,"OK","Diferencia")</f>
        <v>OK</v>
      </c>
    </row>
    <row r="12" spans="1:6">
      <c r="B12" s="7" t="s">
        <v>66</v>
      </c>
      <c r="C12" s="9">
        <v>-9186.76000000000022</v>
      </c>
      <c r="D12" s="9" t="s">
        <v>67</v>
      </c>
      <c r="E12" s="9" t="s">
        <v>68</v>
      </c>
      <c r="F12" s="11" t="s">
        <v>68</v>
      </c>
    </row>
    <row r="13" spans="1:6">
      <c r="B13" s="12" t="s">
        <v>69</v>
      </c>
      <c r="C13" s="13">
        <v>366669.53999999997905</v>
      </c>
      <c r="D13" s="13">
        <f>C12+D10-D11</f>
        <v>366669.53999999997905</v>
      </c>
      <c r="E13" s="13">
        <f>ABS(C13-D13)</f>
        <v>0</v>
      </c>
      <c r="F13" s="14" t="str">
        <f>IF(E13&lt;0.1,"OK","Diferencia")</f>
        <v>OK</v>
      </c>
    </row>
  </sheetData>
  <mergeCells>
    <mergeCell ref="B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</vt:lpstr>
      <vt:lpstr>Resumen y Control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2026-06-08T05:08:51+00:00</dcterms:created>
  <dcterms:modified xsi:type="dcterms:W3CDTF">2026-06-08T05:08:51+00:00</dcterms:modified>
  <dc:title>Untitled Spreadsheet</dc:title>
  <dc:description/>
  <dc:subject/>
  <cp:keywords/>
  <cp:category/>
</cp:coreProperties>
</file>