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Movimientos" sheetId="1" r:id="rId4"/>
    <sheet name="Resumen y Control" sheetId="2" r:id="rId5"/>
  </sheets>
  <definedNames>
    <definedName name="_xlnm._FilterDatabase" localSheetId="0" hidden="1">'Movimientos'!$A$1:$E$85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<sst xmlns="http://schemas.openxmlformats.org/spreadsheetml/2006/main" uniqueCount="151">
  <si>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Fecha</t>
  </si>
  <si>
    <t>Etiqueta</t>
  </si>
  <si>
    <t>Contacto</t>
  </si>
  <si>
    <t>Importe</t>
  </si>
  <si>
    <t>Concepto / Etiqueta</t>
  </si>
  <si>
    <t>*** Buscar factura</t>
  </si>
  <si>
    <t>CORPA TECH (PARCO)</t>
  </si>
  <si>
    <t>deEne CONEKTA*PARCO ZAPOPAN 21.00 RFCGCO121008MU7 /REF180152</t>
  </si>
  <si>
    <t>CARGA DE TAG</t>
  </si>
  <si>
    <t>TAG de Mexico</t>
  </si>
  <si>
    <t>deEne MERCADO PAGO WALLET MEXICO 500.00 RFCMAG2105031W3 /REF139921669403</t>
  </si>
  <si>
    <t>PAGO RECIBIDO</t>
  </si>
  <si>
    <t>AMEX</t>
  </si>
  <si>
    <t>deEne PAGO RECIBIDO, GRACIAS 90,635.06 Total de pagos recibidos 90,635.06 Tarjeta 3766-928946-63004</t>
  </si>
  <si>
    <t>*** Buscar factura ULTIMO DIA DEL MES</t>
  </si>
  <si>
    <t>PASE, SERVICIOS ELECTRONICOS</t>
  </si>
  <si>
    <t>deEne PASE CIRCUNV-LPORTILLO MIGUEL HIDALGO 73.29 . . . . . . Tarjetahabiente JULIO FRANZ GUILLEN DOMINGUEZ JULIO FRANZ GUILLEN DOMINGUEZ Ìw9Ë 3766-928946-63004 BLVD DE LAS FLORES 119 FRACC VILLA DE LAS FLORES Mes COACALCO DE BERRIOZABAL Ene-2026 COACALCO DE BERRIOZABAL MEX 55710 Saldo a pagar 001660882 101,040.69 MN. *536850262640347* Tarjeta 3766-928946-63004 RFCISD950921HE5 /REFIMDM2509502896236183</t>
  </si>
  <si>
    <t>deEne MERCADO PAGO WALLET MEXICO 510.00 RFCMAG2105031W3 /REF140967343154</t>
  </si>
  <si>
    <t>GOOGLE CLOUD MEXICO</t>
  </si>
  <si>
    <t>deEne PAYU-GOOGLE CLOUD 10166 CIUDAD DE MEXIC 6,977.96 RFCOLA1012082G0 /REF4324862500</t>
  </si>
  <si>
    <t>** BUSCAR FACTURA</t>
  </si>
  <si>
    <t>DHL EXPRESS MEXICO</t>
  </si>
  <si>
    <t>deEne DHL MY BILL DHL MY BILL MEXICO 956.62 RFCDEM8801152E9 /REF1aacf3c60c740ae189bf</t>
  </si>
  <si>
    <t>deEne DHL MY BILL DHL MY BILL MEXICO 1,788.55 RFCDEM8801152E9 /REF65ca0607c7089b3f7b01</t>
  </si>
  <si>
    <t>deEne DHL MY BILL DHL MY BILL MEXICO 10,025.88 RFCDEM8801152E9 /REF3ab4018c68acb78f5757</t>
  </si>
  <si>
    <t>deEne DHL MY BILL DHL MY BILL MEXICO 1,036.92 RFCDEM8801152E9 /REFce92381f6ef16871d880</t>
  </si>
  <si>
    <t>COSTCO DE MEXICO</t>
  </si>
  <si>
    <t>deEne COSTCO ATIZAPAN 3 DF 1,288.29 RFCCME910715UB9 /REF03110011803420</t>
  </si>
  <si>
    <t>deEne COSTCO ATIZAPAN 3 DF 1,288.88 RFCCME910715UB9 /REF03110011860506</t>
  </si>
  <si>
    <t>deEne COSTCO ATIZAPAN 3 DF 1,639.82 RFCCME910715UB9 /REF03110011809080</t>
  </si>
  <si>
    <t>deEne COSTCO ATIZAPAN 3 DF 459.80 RFCCGA160215952 /REF03110313829478</t>
  </si>
  <si>
    <t>deEne MERCADO PAGO WALLET MEXICO 800.00 RFCMAG2105031W3 /REF141111382520</t>
  </si>
  <si>
    <t>EOPTICS INGENIERIA E INNOVACION</t>
  </si>
  <si>
    <t>deEne BLUMON PAY*EOPTICS INGE CDMX 1,170.00 RFCFPA090130918 /REF994322223056</t>
  </si>
  <si>
    <t>CONEKTA TRANSPORTES</t>
  </si>
  <si>
    <t>deEne CONEKTA*TRANSPORTESSCHO ESTADO DE MEXIC 1,000.00 RFCGCO121008MU7 /REF202741</t>
  </si>
  <si>
    <t>7-ELEVEN MEXICO</t>
  </si>
  <si>
    <t>deEne 7 ELEVEN PLAZA POLANCO MEXICO DF 96.00 RFCSEM980701STA /REF001528144395</t>
  </si>
  <si>
    <t>deEne PASE CIRCUNV-LPORTILLO MIGUEL HIDALGO 73.29 RFCISD950921HE5 /REFIMDM2509502896775140</t>
  </si>
  <si>
    <t>SIN FACTURA</t>
  </si>
  <si>
    <t>EXHIBIDORA MEXICANA CINEPOLIS</t>
  </si>
  <si>
    <t>deEne CINEPOLIS0158 000000000 DF 574.00 RFCCME981208VE4 /REF01582007863415</t>
  </si>
  <si>
    <t>deEne CINEPOLIS WEB ALIMENTOS MI 655.00 RFCCME981208VE4 /REF543209242</t>
  </si>
  <si>
    <t>A</t>
  </si>
  <si>
    <t>deEne NETPAY*AMORINO SATELITE Estado Mexic 345.00 RFCNPA0803124V6 /REF20454884</t>
  </si>
  <si>
    <t>deEne CONEKTA*PARCO ZAPOPAN 61.00 RFCGCO121008MU7 /REF164681</t>
  </si>
  <si>
    <t>OFFICE DEPOT DE MEXICO</t>
  </si>
  <si>
    <t>deEne OFFICE DEPOT COACALCO COACALCO 565.20 RFCODM950324V2A /REF601111735568</t>
  </si>
  <si>
    <t>FARMACIAS SIMILARES</t>
  </si>
  <si>
    <t>deEne FARMACIA SIMILARES COACALCO DE B 99.00 RFCBBA830831LJ2 /REF3OMJBEB0V5MV</t>
  </si>
  <si>
    <t>ACCESORIOS PARA TU CELULAR</t>
  </si>
  <si>
    <t>deEne ACCESORIOS PARA TU CEL COACALCO DE B 250.00 RFCBBA830831LJ2 /REFZTGSPB6T5Y5B</t>
  </si>
  <si>
    <t>GO MART</t>
  </si>
  <si>
    <t>deEne GO MART CENTRO G86 CALA SANTA MARIA TUL 89.00 Tarjeta 3766-928946-63004 RFCGMC211013GP3 /REF436775760</t>
  </si>
  <si>
    <t>*** Buscar factura GLOBAL</t>
  </si>
  <si>
    <t>ZURICH ASEGURADORA MEXICANA</t>
  </si>
  <si>
    <t>deEne ZURICH ASEGURADORA MEXI NAUCALPAN DE JU 1,609.54 RFCQMS950529PU4 /REF437240839</t>
  </si>
  <si>
    <t>deEne MERCADO PAGO WALLET MEXICO 800.00 RFCMAG2105031W3 /REF141895721302</t>
  </si>
  <si>
    <t>GASOLINERIA MONTEBLANCO (CG GASOL)</t>
  </si>
  <si>
    <t>deEne CG GASOL ES 10225 CG GA COACALCO DE BER 719.70 RFCGMO080717LS5 /REF437688141</t>
  </si>
  <si>
    <t>deEne PASE LAGO DE GUADALUPE MIGUEL HIDALGO 33.00 RFCISD950921HE5 /REFIMDM2509502896933392</t>
  </si>
  <si>
    <t>deEne PASE A36VMX11 A36VMXII MIGUEL HIDALGO 25.00 RFCISD950921HE5 /REFIMDM2509502896936138</t>
  </si>
  <si>
    <t>deEne PASE T5TULTITLAN T5TUL MIGUEL HIDALGO 41.00 RFCISD950921HE5 /REFIMDM2996804496956694</t>
  </si>
  <si>
    <t>CADENA COMERCIAL OXXO</t>
  </si>
  <si>
    <t>deEne OXXO MEXICO MX 96.00 RFCCCO8605231N4 /REF10PCK50KQZAMEX1</t>
  </si>
  <si>
    <t>PHARMA PLUS (FARMACIA SAN PABLO)</t>
  </si>
  <si>
    <t>deEne FARMACIA SAN PABLO COAC COACALCO DE BER 270.50 RFCPPL961114GZ1 /REF005239001657</t>
  </si>
  <si>
    <t>deEne MERCADO PAGO WALLET MEXICO 800.00 RFCMAG2105031W3 /REF141480649097</t>
  </si>
  <si>
    <t>deEne PASE A DEL MAZO JRDI MO MIGUEL HIDALGO 55.00 RFCISD950921HE5 /REFIMDM2509502897042872</t>
  </si>
  <si>
    <t>deEne PASE VT CARPIO A DEL MA MIGUEL HIDALGO 60.00 RFCISD950921HE5 /REFIMDM2509502897042064</t>
  </si>
  <si>
    <t>PETROMAX</t>
  </si>
  <si>
    <t>deEne PETRO7 GAS BODEGAS COACALCO DE B 959.60 RFCPET040903DH1 /REF001538915672</t>
  </si>
  <si>
    <t>deEne OXXO MEXICO MX 223.50 RFCCCO8605231N4 /REF10PCK50KQZAMEX2</t>
  </si>
  <si>
    <t>HDI SEGUROS</t>
  </si>
  <si>
    <t>deEne CGO AUT HDI SEGUROS LEON 405.10 RFCHSE701218532</t>
  </si>
  <si>
    <t>deEne CONEKTA*PARCO ZAPOPAN 18.00 RFCGCO121008MU7 /REF160164</t>
  </si>
  <si>
    <t>deEne OXXO MEXICO MX 256.00 RFCCCO8605231N4 /REF10PCK50CCZAMEX2</t>
  </si>
  <si>
    <t>PREMIUM RESTAURANT BRANDS (KFC)</t>
  </si>
  <si>
    <t>deEne *KFC 296 SAN FELIPE COACALCO DE B 434.00 RFCPRB100802H20 /REF0000000000</t>
  </si>
  <si>
    <t>deEne OXXO MEXICO MX 96.00 RFCCCO8605231N4 /REF10PCK50CCZAMEX1</t>
  </si>
  <si>
    <t>deEne CONEKTA*TRANSPORTESSCHO ESTADO DE MEXIC 1,000.00 RFCGCO121008MU7 /REF206169</t>
  </si>
  <si>
    <t>deEne PASE L PORTILLO CIRCUNV MIGUEL HIDALGO 72.07 RFCISD950921HE5 /REFIMDM2509502897405403</t>
  </si>
  <si>
    <t>deEne PASE A34VMXII A36VM CR MIGUEL HIDALGO 25.00 RFCISD950921HE5 /REFIMDM2509502897425767</t>
  </si>
  <si>
    <t>deEne ZURICH ASEGURADORA MEXI NAUCALPAN DE JU 617.55 Tarjeta 3766-928946-63004 RFCQMS950529PU4 /REF443730989</t>
  </si>
  <si>
    <t>AEROENLACES NACIONALES (VIVAAEROBUS)</t>
  </si>
  <si>
    <t>deEne VIVAAEROBUS VIVAAEROBUS MEXICO 10,043.90 Número de boleto XY1C2V RFCANA050518RL1 /REFXY1C2V__152488733</t>
  </si>
  <si>
    <t>deEne HOSPITAL CEMC 000051177 COACALCO DE B 915.65 RFCEMS0912039N7</t>
  </si>
  <si>
    <t>BUSCAR FACTURA</t>
  </si>
  <si>
    <t>OPERADORA CLUB DE NEGOCIOS GSFA</t>
  </si>
  <si>
    <t>deEne ESTACION OP NEG GSFA 00 COACALCO DE B 659.70 RFCEMS0912039N7</t>
  </si>
  <si>
    <t>COMERCIALIZADORA FARMACEUTICA DE CHIAPAS (FARMACIAS DEL AHORRO)</t>
  </si>
  <si>
    <t>deEne F AHORRO MXCC COACALC COACALCO EM 1,916.00 RFCCFC110121742</t>
  </si>
  <si>
    <t>deEne FARM SN PABLO COACALCO COACALCO 1,618.00 RFCPPL961114GZ1 /REF009294203219</t>
  </si>
  <si>
    <t>deEne FARM SN PABLO COACALCO COACALCO 18.00 RFCPPL961114GZ1 /REF009217303229</t>
  </si>
  <si>
    <t>deEne MERCADOPAGO*FARMACIA Coacalco B 98.00 RFCMAG2105031W3 /REF142883028024</t>
  </si>
  <si>
    <t>deEne NETPAY*GASOLINERA SERVI Estado Mexic 719.70 RFCNPA0803124V6 /REF20564482</t>
  </si>
  <si>
    <t>** BUSCAR FACTURA O SIN FACTURA</t>
  </si>
  <si>
    <t>AUTOZONE DE MEXICO</t>
  </si>
  <si>
    <t>deEne AUTOZONE 7178 COACALCO DE B 638.00 RFCAME970109GW0 /REF717800520859</t>
  </si>
  <si>
    <t>deEne PASE HUEHUETOCA HUEHUE MIGUEL HIDALGO 87.00 RFCISD950921HE5 /REFIMDM2509502897726124</t>
  </si>
  <si>
    <t>deEne PASE HUEHUETOCA HUEHUE MIGUEL HIDALGO 87.00 RFCISD950921HE5 /REFIMDM2509502897721307</t>
  </si>
  <si>
    <t>deEne MERCADOPAGO*TIENDA Coacalco B 126.00 RFCMAG2105031W3 /REF143162630804</t>
  </si>
  <si>
    <t>deEne AVANTE HANKOOK COACALCO EM 9,600.00 RFCBBA830831LJ2 /REF001WSQZMMVAU</t>
  </si>
  <si>
    <t>deEne VIVAAEROBUS VIVAAEROBUS MEXICO 6,405.32 Número de boleto MI9SFK RFCANA050518RL1 /REFMI9SFK__152763850</t>
  </si>
  <si>
    <t>deEne PASE CIRCUNV-LPORTILLO MIGUEL HIDALGO 73.29 RFCISD950921HE5 /REFIMDM2509502897781544</t>
  </si>
  <si>
    <t>deEne PASE A12 ENT SANTA INES MIGUEL HIDALGO 55.00 RFCISD950921HE5 /REFIMDM2509502897797451</t>
  </si>
  <si>
    <t>RADIOMOVIL DIPSA (TELCEL)</t>
  </si>
  <si>
    <t>deEne TELCEL 018001200006 CUAUHTEMOC 100.00 RFCVPS100716CK9 /REFODORZU6EM1LE</t>
  </si>
  <si>
    <t>OPERADORA INN EXPRESS</t>
  </si>
  <si>
    <t>deEne HOLIDAY INN PARQUE FUND MONTERREY 2,799.25 RFCOHF071009810 /REF006772</t>
  </si>
  <si>
    <t>deEne PASE A12 ENT SANTA INES MIGUEL HIDALGO 55.00 RFCISD950921HE5 /REFIMDM2509502897924679</t>
  </si>
  <si>
    <t>FASTKART MONTERREY</t>
  </si>
  <si>
    <t>deEne FASTKART AURIGA SN PEDRO GARZ 3,160.00 RFCBMN930209927 /REF731645289600</t>
  </si>
  <si>
    <t>deEne FASTKART AURIGA SN PEDRO GARZ 2,429.00 RFCBMN930209927 /REF731645440935</t>
  </si>
  <si>
    <t>TAQUERIA LA MEXICANA</t>
  </si>
  <si>
    <t>deEne REST TAQUERIA LA MEXICA MONTERREY 1,102.00 Tarjeta 3766-928946-63004 RFCBLI120726UF6 /REFLTJRBTPETLGE</t>
  </si>
  <si>
    <t>CAFE SIRENA (STARBUCKS)</t>
  </si>
  <si>
    <t>deEne CAFE SIRENA SOCIEDAD DE MEXICO CITY 89.00 RFCCSI020226MV4 /REFNJZZ6QGXZBHF8KX3</t>
  </si>
  <si>
    <t>deEne CAFE SIRENA SOCIEDAD DE MEXICO CITY 126.00 RFCCSI020226MV4 /REFQD9SKSGXZBHF8KX3</t>
  </si>
  <si>
    <t>AEROVIAS DE MEXICO (AEROMEXICO)</t>
  </si>
  <si>
    <t>deEne AEROMEXICO TDV MTY FD CIUDAD APODACA 1,100.00 RFCAME880912I89 /REF448964704</t>
  </si>
  <si>
    <t>deEne AEROMEXICO TDV MTY FD CIUDAD APODACA 13,220.00 RFCAME880912I89 /REF448949940</t>
  </si>
  <si>
    <t>deEne PETRO7 GAS EJE 8 COACALCO EM 719.70 RFCPET040903DH1 /REF001559158475</t>
  </si>
  <si>
    <t>FARMACIA GUADALAJARA</t>
  </si>
  <si>
    <t>deEne FARMACIAS GDL SUC670 COACALCO 613.06 RFCFGU830930PD3</t>
  </si>
  <si>
    <t>deEne CONEKTA*TRANSPORTESSCHO ESTADO DE MEXIC 1,000.00 RFCGCO121008MU7 /REF202499</t>
  </si>
  <si>
    <t>HOME DEPOT MEXICO</t>
  </si>
  <si>
    <t>deEne HOME DEPOT COACALCO EST ESTADO DE MEXIC 396.06 RFCHDM001017AS1</t>
  </si>
  <si>
    <t>deEne HOME DEPOT COACALCO EST ESTADO DE MEXIC 247.00 RFCHDM001017AS1</t>
  </si>
  <si>
    <t>CONCILIACIÓN Y CONTROL DE ESTADO DE CUENTA</t>
  </si>
  <si>
    <t>Banco:</t>
  </si>
  <si>
    <t>AMEX TC</t>
  </si>
  <si>
    <t>Cuenta:</t>
  </si>
  <si>
    <t>CLABE:</t>
  </si>
  <si>
    <t>Periodo Inicio:</t>
  </si>
  <si>
    <t>2026-12-31</t>
  </si>
  <si>
    <t>Periodo Fin:</t>
  </si>
  <si>
    <t>2026-01-30</t>
  </si>
  <si>
    <t>Fecha Exportación:</t>
  </si>
  <si>
    <t>2026-07-03 23:55</t>
  </si>
  <si>
    <t>Métrica de Control</t>
  </si>
  <si>
    <t>PDF (Resumen)</t>
  </si>
  <si>
    <t>Calculado (Líneas)</t>
  </si>
  <si>
    <t>Diferencia</t>
  </si>
  <si>
    <t>Resultado</t>
  </si>
  <si>
    <t>Total Cargos</t>
  </si>
  <si>
    <t>Total Abonos</t>
  </si>
  <si>
    <t>Saldo Inicial</t>
  </si>
  <si>
    <t>N/A</t>
  </si>
  <si>
    <t>-</t>
  </si>
  <si>
    <t>Saldo Final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</si>
</sst>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$#,##0.00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1F4E78"/>
      <name val="Calibri"/>
    </font>
    <font>
      <b val="1"/>
      <i val="0"/>
      <strike val="0"/>
      <u val="none"/>
      <sz val="11"/>
      <color rgb="FF595959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2F5597"/>
        <bgColor rgb="FF000000"/>
      </patternFill>
    </fill>
  </fills>
  <borders count="10">
    <border>
      <left/>
      <right/>
      <top/>
      <bottom/>
      <diagonal/>
    </border>
    <border>
      <left style="medium">
        <color rgb="FF595959"/>
      </left>
      <right style="thin">
        <color rgb="FFD9D9D9"/>
      </right>
      <top style="medium">
        <color rgb="FF595959"/>
      </top>
      <bottom style="thin">
        <color rgb="FFD9D9D9"/>
      </bottom>
      <diagonal/>
    </border>
    <border>
      <left style="medium">
        <color rgb="FF59595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59595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595959"/>
      </right>
      <top style="medium">
        <color rgb="FF595959"/>
      </top>
      <bottom style="thin">
        <color rgb="FFD9D9D9"/>
      </bottom>
      <diagonal/>
    </border>
    <border>
      <left style="thin">
        <color rgb="FFD9D9D9"/>
      </left>
      <right style="medium">
        <color rgb="FF595959"/>
      </right>
      <top style="thin">
        <color rgb="FFD9D9D9"/>
      </top>
      <bottom style="thin">
        <color rgb="FFD9D9D9"/>
      </bottom>
      <diagonal/>
    </border>
    <border>
      <left style="medium">
        <color rgb="FF595959"/>
      </left>
      <right style="thin">
        <color rgb="FFD9D9D9"/>
      </right>
      <top style="thin">
        <color rgb="FFD9D9D9"/>
      </top>
      <bottom style="double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00000"/>
      </bottom>
      <diagonal/>
    </border>
    <border>
      <left style="thin">
        <color rgb="FFD9D9D9"/>
      </left>
      <right style="medium">
        <color rgb="FF595959"/>
      </right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2" applyFont="1" applyNumberFormat="0" applyFill="0" applyBorder="1" applyAlignment="0"/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165" fillId="0" borderId="4" applyFont="0" applyNumberFormat="1" applyFill="0" applyBorder="1" applyAlignment="1">
      <alignment horizontal="right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0"/>
    <xf xfId="0" fontId="0" numFmtId="165" fillId="0" borderId="8" applyFont="0" applyNumberFormat="1" applyFill="0" applyBorder="1" applyAlignment="1">
      <alignment horizontal="right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85"/>
  <sheetViews>
    <sheetView tabSelected="0" workbookViewId="0" showGridLines="true" showRowColHeaders="1">
      <selection activeCell="D85" sqref="D85"/>
    </sheetView>
  </sheetViews>
  <sheetFormatPr defaultRowHeight="14.4" outlineLevelRow="0" outlineLevelCol="0"/>
  <cols>
    <col min="1" max="1" width="15.139" bestFit="true" customWidth="true" style="0"/>
    <col min="2" max="2" width="44.703" bestFit="true" customWidth="true" style="0"/>
    <col min="3" max="3" width="75.41" bestFit="true" customWidth="true" style="0"/>
    <col min="4" max="4" width="13.997" bestFit="true" customWidth="true" style="0"/>
    <col min="5" max="5" width="477.741" bestFit="true" customWidth="true" style="0"/>
  </cols>
  <sheetData>
    <row r="1" spans="1:5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46025.0</v>
      </c>
      <c r="B2" t="s">
        <v>5</v>
      </c>
      <c r="C2" t="s">
        <v>6</v>
      </c>
      <c r="D2" s="3">
        <v>-21.0</v>
      </c>
      <c r="E2" t="s">
        <v>7</v>
      </c>
    </row>
    <row r="3" spans="1:5">
      <c r="A3" s="2">
        <v>46025.0</v>
      </c>
      <c r="B3" t="s">
        <v>8</v>
      </c>
      <c r="C3" t="s">
        <v>9</v>
      </c>
      <c r="D3" s="3">
        <v>-500.0</v>
      </c>
      <c r="E3" t="s">
        <v>10</v>
      </c>
    </row>
    <row r="4" spans="1:5">
      <c r="A4" s="2">
        <v>46026.0</v>
      </c>
      <c r="B4" t="s">
        <v>11</v>
      </c>
      <c r="C4" t="s">
        <v>12</v>
      </c>
      <c r="D4" s="3">
        <v>90635.059999999997672</v>
      </c>
      <c r="E4" t="s">
        <v>13</v>
      </c>
    </row>
    <row r="5" spans="1:5">
      <c r="A5" s="2">
        <v>46026.0</v>
      </c>
      <c r="B5" t="s">
        <v>14</v>
      </c>
      <c r="C5" t="s">
        <v>15</v>
      </c>
      <c r="D5" s="3">
        <v>-73.29000000000001</v>
      </c>
      <c r="E5" t="s">
        <v>16</v>
      </c>
    </row>
    <row r="6" spans="1:5">
      <c r="A6" s="2">
        <v>46028.0</v>
      </c>
      <c r="B6" t="s">
        <v>8</v>
      </c>
      <c r="C6" t="s">
        <v>9</v>
      </c>
      <c r="D6" s="3">
        <v>-510.0</v>
      </c>
      <c r="E6" t="s">
        <v>17</v>
      </c>
    </row>
    <row r="7" spans="1:5">
      <c r="A7" s="2">
        <v>46028.0</v>
      </c>
      <c r="B7" t="s">
        <v>5</v>
      </c>
      <c r="C7" t="s">
        <v>18</v>
      </c>
      <c r="D7" s="3">
        <v>-6977.96000000000004</v>
      </c>
      <c r="E7" t="s">
        <v>19</v>
      </c>
    </row>
    <row r="8" spans="1:5">
      <c r="A8" s="2">
        <v>46028.0</v>
      </c>
      <c r="B8" t="s">
        <v>20</v>
      </c>
      <c r="C8" t="s">
        <v>21</v>
      </c>
      <c r="D8" s="3">
        <v>-956.62</v>
      </c>
      <c r="E8" t="s">
        <v>22</v>
      </c>
    </row>
    <row r="9" spans="1:5">
      <c r="A9" s="2">
        <v>46028.0</v>
      </c>
      <c r="B9" t="s">
        <v>20</v>
      </c>
      <c r="C9" t="s">
        <v>21</v>
      </c>
      <c r="D9" s="3">
        <v>-1788.54999999999995</v>
      </c>
      <c r="E9" t="s">
        <v>23</v>
      </c>
    </row>
    <row r="10" spans="1:5">
      <c r="A10" s="2">
        <v>46028.0</v>
      </c>
      <c r="B10" t="s">
        <v>20</v>
      </c>
      <c r="C10" t="s">
        <v>21</v>
      </c>
      <c r="D10" s="3">
        <v>-10025.8799999999992</v>
      </c>
      <c r="E10" t="s">
        <v>24</v>
      </c>
    </row>
    <row r="11" spans="1:5">
      <c r="A11" s="2">
        <v>46028.0</v>
      </c>
      <c r="B11" t="s">
        <v>20</v>
      </c>
      <c r="C11" t="s">
        <v>21</v>
      </c>
      <c r="D11" s="3">
        <v>-1036.92000000000007</v>
      </c>
      <c r="E11" t="s">
        <v>25</v>
      </c>
    </row>
    <row r="12" spans="1:5">
      <c r="A12" s="2">
        <v>46028.0</v>
      </c>
      <c r="B12" t="s">
        <v>20</v>
      </c>
      <c r="C12" t="s">
        <v>26</v>
      </c>
      <c r="D12" s="3">
        <v>-1288.28999999999996</v>
      </c>
      <c r="E12" t="s">
        <v>27</v>
      </c>
    </row>
    <row r="13" spans="1:5">
      <c r="A13" s="2">
        <v>46028.0</v>
      </c>
      <c r="B13" t="s">
        <v>20</v>
      </c>
      <c r="C13" t="s">
        <v>26</v>
      </c>
      <c r="D13" s="3">
        <v>-1288.88000000000011</v>
      </c>
      <c r="E13" t="s">
        <v>28</v>
      </c>
    </row>
    <row r="14" spans="1:5">
      <c r="A14" s="2">
        <v>46028.0</v>
      </c>
      <c r="B14" t="s">
        <v>20</v>
      </c>
      <c r="C14" t="s">
        <v>26</v>
      </c>
      <c r="D14" s="3">
        <v>-1639.81999999999994</v>
      </c>
      <c r="E14" t="s">
        <v>29</v>
      </c>
    </row>
    <row r="15" spans="1:5">
      <c r="A15" s="2">
        <v>46028.0</v>
      </c>
      <c r="B15" t="s">
        <v>20</v>
      </c>
      <c r="C15" t="s">
        <v>26</v>
      </c>
      <c r="D15" s="3">
        <v>-459.80000000000001</v>
      </c>
      <c r="E15" t="s">
        <v>30</v>
      </c>
    </row>
    <row r="16" spans="1:5">
      <c r="A16" s="2">
        <v>46029.0</v>
      </c>
      <c r="B16" t="s">
        <v>8</v>
      </c>
      <c r="C16" t="s">
        <v>9</v>
      </c>
      <c r="D16" s="3">
        <v>-800.0</v>
      </c>
      <c r="E16" t="s">
        <v>31</v>
      </c>
    </row>
    <row r="17" spans="1:5">
      <c r="A17" s="2">
        <v>46030.0</v>
      </c>
      <c r="B17" t="s">
        <v>20</v>
      </c>
      <c r="C17" t="s">
        <v>32</v>
      </c>
      <c r="D17" s="3">
        <v>-1170.0</v>
      </c>
      <c r="E17" t="s">
        <v>33</v>
      </c>
    </row>
    <row r="18" spans="1:5">
      <c r="A18" s="2">
        <v>46031.0</v>
      </c>
      <c r="B18" t="s">
        <v>20</v>
      </c>
      <c r="C18" t="s">
        <v>34</v>
      </c>
      <c r="D18" s="3">
        <v>-1000.0</v>
      </c>
      <c r="E18" t="s">
        <v>35</v>
      </c>
    </row>
    <row r="19" spans="1:5">
      <c r="A19" s="2">
        <v>46031.0</v>
      </c>
      <c r="B19" t="s">
        <v>5</v>
      </c>
      <c r="C19" t="s">
        <v>36</v>
      </c>
      <c r="D19" s="3">
        <v>-96.0</v>
      </c>
      <c r="E19" t="s">
        <v>37</v>
      </c>
    </row>
    <row r="20" spans="1:5">
      <c r="A20" s="2">
        <v>46032.0</v>
      </c>
      <c r="B20" t="s">
        <v>14</v>
      </c>
      <c r="C20" t="s">
        <v>15</v>
      </c>
      <c r="D20" s="3">
        <v>-73.29000000000001</v>
      </c>
      <c r="E20" t="s">
        <v>38</v>
      </c>
    </row>
    <row r="21" spans="1:5">
      <c r="A21" s="2">
        <v>46032.0</v>
      </c>
      <c r="B21" t="s">
        <v>39</v>
      </c>
      <c r="C21" t="s">
        <v>40</v>
      </c>
      <c r="D21" s="3">
        <v>-574.0</v>
      </c>
      <c r="E21" t="s">
        <v>41</v>
      </c>
    </row>
    <row r="22" spans="1:5">
      <c r="A22" s="2">
        <v>46032.0</v>
      </c>
      <c r="B22" t="s">
        <v>39</v>
      </c>
      <c r="C22" t="s">
        <v>40</v>
      </c>
      <c r="D22" s="3">
        <v>-655.0</v>
      </c>
      <c r="E22" t="s">
        <v>42</v>
      </c>
    </row>
    <row r="23" spans="1:5">
      <c r="A23" s="2">
        <v>46032.0</v>
      </c>
      <c r="B23" t="s">
        <v>20</v>
      </c>
      <c r="C23" t="s">
        <v>43</v>
      </c>
      <c r="D23" s="3">
        <v>-345.0</v>
      </c>
      <c r="E23" t="s">
        <v>44</v>
      </c>
    </row>
    <row r="24" spans="1:5">
      <c r="A24" s="2">
        <v>46033.0</v>
      </c>
      <c r="B24" t="s">
        <v>5</v>
      </c>
      <c r="C24" t="s">
        <v>6</v>
      </c>
      <c r="D24" s="3">
        <v>-61.0</v>
      </c>
      <c r="E24" t="s">
        <v>45</v>
      </c>
    </row>
    <row r="25" spans="1:5">
      <c r="A25" s="2">
        <v>46033.0</v>
      </c>
      <c r="B25" t="s">
        <v>20</v>
      </c>
      <c r="C25" t="s">
        <v>46</v>
      </c>
      <c r="D25" s="3">
        <v>-565.20000000000005</v>
      </c>
      <c r="E25" t="s">
        <v>47</v>
      </c>
    </row>
    <row r="26" spans="1:5">
      <c r="A26" s="2">
        <v>46033.0</v>
      </c>
      <c r="B26" t="s">
        <v>20</v>
      </c>
      <c r="C26" t="s">
        <v>48</v>
      </c>
      <c r="D26" s="3">
        <v>-99.0</v>
      </c>
      <c r="E26" t="s">
        <v>49</v>
      </c>
    </row>
    <row r="27" spans="1:5">
      <c r="A27" s="2">
        <v>46033.0</v>
      </c>
      <c r="B27" t="s">
        <v>20</v>
      </c>
      <c r="C27" t="s">
        <v>50</v>
      </c>
      <c r="D27" s="3">
        <v>-250.0</v>
      </c>
      <c r="E27" t="s">
        <v>51</v>
      </c>
    </row>
    <row r="28" spans="1:5">
      <c r="A28" s="2">
        <v>46034.0</v>
      </c>
      <c r="B28" t="s">
        <v>20</v>
      </c>
      <c r="C28" t="s">
        <v>52</v>
      </c>
      <c r="D28" s="3">
        <v>-89.0</v>
      </c>
      <c r="E28" t="s">
        <v>53</v>
      </c>
    </row>
    <row r="29" spans="1:5">
      <c r="A29" s="2">
        <v>46034.0</v>
      </c>
      <c r="B29" t="s">
        <v>54</v>
      </c>
      <c r="C29" t="s">
        <v>55</v>
      </c>
      <c r="D29" s="3">
        <v>-1609.53999999999996</v>
      </c>
      <c r="E29" t="s">
        <v>56</v>
      </c>
    </row>
    <row r="30" spans="1:5">
      <c r="A30" s="2">
        <v>46035.0</v>
      </c>
      <c r="B30" t="s">
        <v>8</v>
      </c>
      <c r="C30" t="s">
        <v>9</v>
      </c>
      <c r="D30" s="3">
        <v>-800.0</v>
      </c>
      <c r="E30" t="s">
        <v>57</v>
      </c>
    </row>
    <row r="31" spans="1:5">
      <c r="A31" s="2">
        <v>46035.0</v>
      </c>
      <c r="B31" t="s">
        <v>20</v>
      </c>
      <c r="C31" t="s">
        <v>58</v>
      </c>
      <c r="D31" s="3">
        <v>-719.70000000000005</v>
      </c>
      <c r="E31" t="s">
        <v>59</v>
      </c>
    </row>
    <row r="32" spans="1:5">
      <c r="A32" s="2">
        <v>46035.0</v>
      </c>
      <c r="B32" t="s">
        <v>14</v>
      </c>
      <c r="C32" t="s">
        <v>15</v>
      </c>
      <c r="D32" s="3">
        <v>-33.0</v>
      </c>
      <c r="E32" t="s">
        <v>60</v>
      </c>
    </row>
    <row r="33" spans="1:5">
      <c r="A33" s="2">
        <v>46035.0</v>
      </c>
      <c r="B33" t="s">
        <v>14</v>
      </c>
      <c r="C33" t="s">
        <v>15</v>
      </c>
      <c r="D33" s="3">
        <v>-25.0</v>
      </c>
      <c r="E33" t="s">
        <v>61</v>
      </c>
    </row>
    <row r="34" spans="1:5">
      <c r="A34" s="2">
        <v>46035.0</v>
      </c>
      <c r="B34" t="s">
        <v>14</v>
      </c>
      <c r="C34" t="s">
        <v>15</v>
      </c>
      <c r="D34" s="3">
        <v>-41.0</v>
      </c>
      <c r="E34" t="s">
        <v>62</v>
      </c>
    </row>
    <row r="35" spans="1:5">
      <c r="A35" s="2">
        <v>46035.0</v>
      </c>
      <c r="B35" t="s">
        <v>5</v>
      </c>
      <c r="C35" t="s">
        <v>63</v>
      </c>
      <c r="D35" s="3">
        <v>-96.0</v>
      </c>
      <c r="E35" t="s">
        <v>64</v>
      </c>
    </row>
    <row r="36" spans="1:5">
      <c r="A36" s="2">
        <v>46035.0</v>
      </c>
      <c r="B36" t="s">
        <v>5</v>
      </c>
      <c r="C36" t="s">
        <v>63</v>
      </c>
      <c r="D36" s="3">
        <v>-96.0</v>
      </c>
      <c r="E36" t="s">
        <v>64</v>
      </c>
    </row>
    <row r="37" spans="1:5">
      <c r="A37" s="2">
        <v>46037.0</v>
      </c>
      <c r="B37" t="s">
        <v>20</v>
      </c>
      <c r="C37" t="s">
        <v>65</v>
      </c>
      <c r="D37" s="3">
        <v>-270.5</v>
      </c>
      <c r="E37" t="s">
        <v>66</v>
      </c>
    </row>
    <row r="38" spans="1:5">
      <c r="A38" s="2">
        <v>46037.0</v>
      </c>
      <c r="B38" t="s">
        <v>8</v>
      </c>
      <c r="C38" t="s">
        <v>9</v>
      </c>
      <c r="D38" s="3">
        <v>-800.0</v>
      </c>
      <c r="E38" t="s">
        <v>67</v>
      </c>
    </row>
    <row r="39" spans="1:5">
      <c r="A39" s="2">
        <v>46037.0</v>
      </c>
      <c r="B39" t="s">
        <v>14</v>
      </c>
      <c r="C39" t="s">
        <v>15</v>
      </c>
      <c r="D39" s="3">
        <v>-55.0</v>
      </c>
      <c r="E39" t="s">
        <v>68</v>
      </c>
    </row>
    <row r="40" spans="1:5">
      <c r="A40" s="2">
        <v>46037.0</v>
      </c>
      <c r="B40" t="s">
        <v>14</v>
      </c>
      <c r="C40" t="s">
        <v>15</v>
      </c>
      <c r="D40" s="3">
        <v>-60.0</v>
      </c>
      <c r="E40" t="s">
        <v>69</v>
      </c>
    </row>
    <row r="41" spans="1:5">
      <c r="A41" s="2">
        <v>46037.0</v>
      </c>
      <c r="B41" t="s">
        <v>20</v>
      </c>
      <c r="C41" t="s">
        <v>70</v>
      </c>
      <c r="D41" s="3">
        <v>-959.60000000000002</v>
      </c>
      <c r="E41" t="s">
        <v>71</v>
      </c>
    </row>
    <row r="42" spans="1:5">
      <c r="A42" s="2">
        <v>46037.0</v>
      </c>
      <c r="B42" t="s">
        <v>5</v>
      </c>
      <c r="C42" t="s">
        <v>63</v>
      </c>
      <c r="D42" s="3">
        <v>-223.5</v>
      </c>
      <c r="E42" t="s">
        <v>72</v>
      </c>
    </row>
    <row r="43" spans="1:5">
      <c r="A43" s="2">
        <v>46038.0</v>
      </c>
      <c r="B43" t="s">
        <v>5</v>
      </c>
      <c r="C43" t="s">
        <v>73</v>
      </c>
      <c r="D43" s="3">
        <v>-405.10000000000002</v>
      </c>
      <c r="E43" t="s">
        <v>74</v>
      </c>
    </row>
    <row r="44" spans="1:5">
      <c r="A44" s="2">
        <v>46038.0</v>
      </c>
      <c r="B44" t="s">
        <v>5</v>
      </c>
      <c r="C44" t="s">
        <v>6</v>
      </c>
      <c r="D44" s="3">
        <v>-18.0</v>
      </c>
      <c r="E44" t="s">
        <v>75</v>
      </c>
    </row>
    <row r="45" spans="1:5">
      <c r="A45" s="2">
        <v>46038.0</v>
      </c>
      <c r="B45" t="s">
        <v>5</v>
      </c>
      <c r="C45" t="s">
        <v>63</v>
      </c>
      <c r="D45" s="3">
        <v>-256.0</v>
      </c>
      <c r="E45" t="s">
        <v>76</v>
      </c>
    </row>
    <row r="46" spans="1:5">
      <c r="A46" s="2">
        <v>46038.0</v>
      </c>
      <c r="B46" t="s">
        <v>39</v>
      </c>
      <c r="C46" t="s">
        <v>77</v>
      </c>
      <c r="D46" s="3">
        <v>-434.0</v>
      </c>
      <c r="E46" t="s">
        <v>78</v>
      </c>
    </row>
    <row r="47" spans="1:5">
      <c r="A47" s="2">
        <v>46038.0</v>
      </c>
      <c r="B47" t="s">
        <v>5</v>
      </c>
      <c r="C47" t="s">
        <v>63</v>
      </c>
      <c r="D47" s="3">
        <v>-96.0</v>
      </c>
      <c r="E47" t="s">
        <v>79</v>
      </c>
    </row>
    <row r="48" spans="1:5">
      <c r="A48" s="2">
        <v>46040.0</v>
      </c>
      <c r="B48" t="s">
        <v>20</v>
      </c>
      <c r="C48" t="s">
        <v>34</v>
      </c>
      <c r="D48" s="3">
        <v>-1000.0</v>
      </c>
      <c r="E48" t="s">
        <v>80</v>
      </c>
    </row>
    <row r="49" spans="1:5">
      <c r="A49" s="2">
        <v>46040.0</v>
      </c>
      <c r="B49" t="s">
        <v>14</v>
      </c>
      <c r="C49" t="s">
        <v>15</v>
      </c>
      <c r="D49" s="3">
        <v>-72.069999999999993</v>
      </c>
      <c r="E49" t="s">
        <v>81</v>
      </c>
    </row>
    <row r="50" spans="1:5">
      <c r="A50" s="2">
        <v>46040.0</v>
      </c>
      <c r="B50" t="s">
        <v>14</v>
      </c>
      <c r="C50" t="s">
        <v>15</v>
      </c>
      <c r="D50" s="3">
        <v>25.0</v>
      </c>
      <c r="E50" t="s">
        <v>82</v>
      </c>
    </row>
    <row r="51" spans="1:5">
      <c r="A51" s="2">
        <v>46041.0</v>
      </c>
      <c r="B51" t="s">
        <v>54</v>
      </c>
      <c r="C51" t="s">
        <v>55</v>
      </c>
      <c r="D51" s="3">
        <v>-617.54999999999995</v>
      </c>
      <c r="E51" t="s">
        <v>83</v>
      </c>
    </row>
    <row r="52" spans="1:5">
      <c r="A52" s="2">
        <v>46041.0</v>
      </c>
      <c r="B52" t="s">
        <v>20</v>
      </c>
      <c r="C52" t="s">
        <v>84</v>
      </c>
      <c r="D52" s="3">
        <v>-10043.89999999999964</v>
      </c>
      <c r="E52" t="s">
        <v>85</v>
      </c>
    </row>
    <row r="53" spans="1:5">
      <c r="A53" s="2">
        <v>46041.0</v>
      </c>
      <c r="C53" t="s">
        <v>43</v>
      </c>
      <c r="D53" s="3">
        <v>-915.64999999999998</v>
      </c>
      <c r="E53" t="s">
        <v>86</v>
      </c>
    </row>
    <row r="54" spans="1:5">
      <c r="A54" s="2">
        <v>46041.0</v>
      </c>
      <c r="B54" t="s">
        <v>87</v>
      </c>
      <c r="C54" t="s">
        <v>88</v>
      </c>
      <c r="D54" s="3">
        <v>-659.70000000000005</v>
      </c>
      <c r="E54" t="s">
        <v>89</v>
      </c>
    </row>
    <row r="55" spans="1:5">
      <c r="A55" s="2">
        <v>46041.0</v>
      </c>
      <c r="B55" t="s">
        <v>20</v>
      </c>
      <c r="C55" t="s">
        <v>90</v>
      </c>
      <c r="D55" s="3">
        <v>-1916.0</v>
      </c>
      <c r="E55" t="s">
        <v>91</v>
      </c>
    </row>
    <row r="56" spans="1:5">
      <c r="A56" s="2">
        <v>46042.0</v>
      </c>
      <c r="B56" t="s">
        <v>5</v>
      </c>
      <c r="C56" t="s">
        <v>65</v>
      </c>
      <c r="D56" s="3">
        <v>-1618.0</v>
      </c>
      <c r="E56" t="s">
        <v>92</v>
      </c>
    </row>
    <row r="57" spans="1:5">
      <c r="A57" s="2">
        <v>46042.0</v>
      </c>
      <c r="B57" t="s">
        <v>5</v>
      </c>
      <c r="C57" t="s">
        <v>65</v>
      </c>
      <c r="D57" s="3">
        <v>-18.0</v>
      </c>
      <c r="E57" t="s">
        <v>93</v>
      </c>
    </row>
    <row r="58" spans="1:5">
      <c r="A58" s="2">
        <v>46042.0</v>
      </c>
      <c r="B58" t="s">
        <v>20</v>
      </c>
      <c r="C58" t="s">
        <v>43</v>
      </c>
      <c r="D58" s="3">
        <v>-98.0</v>
      </c>
      <c r="E58" t="s">
        <v>94</v>
      </c>
    </row>
    <row r="59" spans="1:5">
      <c r="A59" s="2">
        <v>46043.0</v>
      </c>
      <c r="C59" t="s">
        <v>43</v>
      </c>
      <c r="D59" s="3">
        <v>-719.70000000000005</v>
      </c>
      <c r="E59" t="s">
        <v>95</v>
      </c>
    </row>
    <row r="60" spans="1:5">
      <c r="A60" s="2">
        <v>46043.0</v>
      </c>
      <c r="B60" t="s">
        <v>96</v>
      </c>
      <c r="C60" t="s">
        <v>97</v>
      </c>
      <c r="D60" s="3">
        <v>-638.0</v>
      </c>
      <c r="E60" t="s">
        <v>98</v>
      </c>
    </row>
    <row r="61" spans="1:5">
      <c r="A61" s="2">
        <v>46044.0</v>
      </c>
      <c r="B61" t="s">
        <v>14</v>
      </c>
      <c r="C61" t="s">
        <v>15</v>
      </c>
      <c r="D61" s="3">
        <v>-87.0</v>
      </c>
      <c r="E61" t="s">
        <v>99</v>
      </c>
    </row>
    <row r="62" spans="1:5">
      <c r="A62" s="2">
        <v>46044.0</v>
      </c>
      <c r="B62" t="s">
        <v>14</v>
      </c>
      <c r="C62" t="s">
        <v>15</v>
      </c>
      <c r="D62" s="3">
        <v>-87.0</v>
      </c>
      <c r="E62" t="s">
        <v>100</v>
      </c>
    </row>
    <row r="63" spans="1:5">
      <c r="A63" s="2">
        <v>46044.0</v>
      </c>
      <c r="C63" t="s">
        <v>43</v>
      </c>
      <c r="D63" s="3">
        <v>-126.0</v>
      </c>
      <c r="E63" t="s">
        <v>101</v>
      </c>
    </row>
    <row r="64" spans="1:5">
      <c r="A64" s="2">
        <v>46044.0</v>
      </c>
      <c r="C64" t="s">
        <v>43</v>
      </c>
      <c r="D64" s="3">
        <v>-9600.0</v>
      </c>
      <c r="E64" t="s">
        <v>102</v>
      </c>
    </row>
    <row r="65" spans="1:5">
      <c r="A65" s="2">
        <v>46045.0</v>
      </c>
      <c r="B65" t="s">
        <v>20</v>
      </c>
      <c r="C65" t="s">
        <v>84</v>
      </c>
      <c r="D65" s="3">
        <v>-6405.31999999999971</v>
      </c>
      <c r="E65" t="s">
        <v>103</v>
      </c>
    </row>
    <row r="66" spans="1:5">
      <c r="A66" s="2">
        <v>46045.0</v>
      </c>
      <c r="B66" t="s">
        <v>14</v>
      </c>
      <c r="C66" t="s">
        <v>15</v>
      </c>
      <c r="D66" s="3">
        <v>-73.29000000000001</v>
      </c>
      <c r="E66" t="s">
        <v>104</v>
      </c>
    </row>
    <row r="67" spans="1:5">
      <c r="A67" s="2">
        <v>46045.0</v>
      </c>
      <c r="B67" t="s">
        <v>14</v>
      </c>
      <c r="C67" t="s">
        <v>15</v>
      </c>
      <c r="D67" s="3">
        <v>-55.0</v>
      </c>
      <c r="E67" t="s">
        <v>105</v>
      </c>
    </row>
    <row r="68" spans="1:5">
      <c r="A68" s="2">
        <v>46045.0</v>
      </c>
      <c r="B68" t="s">
        <v>20</v>
      </c>
      <c r="C68" t="s">
        <v>106</v>
      </c>
      <c r="D68" s="3">
        <v>-100.0</v>
      </c>
      <c r="E68" t="s">
        <v>107</v>
      </c>
    </row>
    <row r="69" spans="1:5">
      <c r="A69" s="2">
        <v>46045.0</v>
      </c>
      <c r="B69" t="s">
        <v>5</v>
      </c>
      <c r="C69" t="s">
        <v>108</v>
      </c>
      <c r="D69" s="3">
        <v>-2799.25</v>
      </c>
      <c r="E69" t="s">
        <v>109</v>
      </c>
    </row>
    <row r="70" spans="1:5">
      <c r="A70" s="2">
        <v>46046.0</v>
      </c>
      <c r="B70" t="s">
        <v>14</v>
      </c>
      <c r="C70" t="s">
        <v>15</v>
      </c>
      <c r="D70" s="3">
        <v>-55.0</v>
      </c>
      <c r="E70" t="s">
        <v>110</v>
      </c>
    </row>
    <row r="71" spans="1:5">
      <c r="A71" s="2">
        <v>46046.0</v>
      </c>
      <c r="B71" t="s">
        <v>20</v>
      </c>
      <c r="C71" t="s">
        <v>111</v>
      </c>
      <c r="D71" s="3">
        <v>-3160.0</v>
      </c>
      <c r="E71" t="s">
        <v>112</v>
      </c>
    </row>
    <row r="72" spans="1:5">
      <c r="A72" s="2">
        <v>46046.0</v>
      </c>
      <c r="B72" t="s">
        <v>20</v>
      </c>
      <c r="C72" t="s">
        <v>111</v>
      </c>
      <c r="D72" s="3">
        <v>-2429.0</v>
      </c>
      <c r="E72" t="s">
        <v>113</v>
      </c>
    </row>
    <row r="73" spans="1:5">
      <c r="A73" s="2">
        <v>46046.0</v>
      </c>
      <c r="B73" t="s">
        <v>20</v>
      </c>
      <c r="C73" t="s">
        <v>114</v>
      </c>
      <c r="D73" s="3">
        <v>-1102.0</v>
      </c>
      <c r="E73" t="s">
        <v>115</v>
      </c>
    </row>
    <row r="74" spans="1:5">
      <c r="A74" s="2">
        <v>46047.0</v>
      </c>
      <c r="B74" t="s">
        <v>5</v>
      </c>
      <c r="C74" t="s">
        <v>116</v>
      </c>
      <c r="D74" s="3">
        <v>-89.0</v>
      </c>
      <c r="E74" t="s">
        <v>117</v>
      </c>
    </row>
    <row r="75" spans="1:5">
      <c r="A75" s="2">
        <v>46047.0</v>
      </c>
      <c r="B75" t="s">
        <v>5</v>
      </c>
      <c r="C75" t="s">
        <v>116</v>
      </c>
      <c r="D75" s="3">
        <v>-126.0</v>
      </c>
      <c r="E75" t="s">
        <v>118</v>
      </c>
    </row>
    <row r="76" spans="1:5">
      <c r="A76" s="2">
        <v>46047.0</v>
      </c>
      <c r="B76" t="s">
        <v>96</v>
      </c>
      <c r="C76" t="s">
        <v>119</v>
      </c>
      <c r="D76" s="3">
        <v>-1100.0</v>
      </c>
      <c r="E76" t="s">
        <v>120</v>
      </c>
    </row>
    <row r="77" spans="1:5">
      <c r="A77" s="2">
        <v>46047.0</v>
      </c>
      <c r="B77" t="s">
        <v>96</v>
      </c>
      <c r="C77" t="s">
        <v>119</v>
      </c>
      <c r="D77" s="3">
        <v>-13220.0</v>
      </c>
      <c r="E77" t="s">
        <v>121</v>
      </c>
    </row>
    <row r="78" spans="1:5">
      <c r="A78" s="2">
        <v>46048.0</v>
      </c>
      <c r="B78" t="s">
        <v>5</v>
      </c>
      <c r="C78" t="s">
        <v>63</v>
      </c>
      <c r="D78" s="3">
        <v>-96.0</v>
      </c>
      <c r="E78" t="s">
        <v>79</v>
      </c>
    </row>
    <row r="79" spans="1:5">
      <c r="A79" s="2">
        <v>46048.0</v>
      </c>
      <c r="B79" t="s">
        <v>20</v>
      </c>
      <c r="C79" t="s">
        <v>70</v>
      </c>
      <c r="D79" s="3">
        <v>-719.70000000000005</v>
      </c>
      <c r="E79" t="s">
        <v>122</v>
      </c>
    </row>
    <row r="80" spans="1:5">
      <c r="A80" s="2">
        <v>46048.0</v>
      </c>
      <c r="B80" t="s">
        <v>20</v>
      </c>
      <c r="C80" t="s">
        <v>123</v>
      </c>
      <c r="D80" s="3">
        <v>-613.059999999999945</v>
      </c>
      <c r="E80" t="s">
        <v>124</v>
      </c>
    </row>
    <row r="81" spans="1:5">
      <c r="A81" s="2">
        <v>46049.0</v>
      </c>
      <c r="B81" t="s">
        <v>20</v>
      </c>
      <c r="C81" t="s">
        <v>34</v>
      </c>
      <c r="D81" s="3">
        <v>-1000.0</v>
      </c>
      <c r="E81" t="s">
        <v>125</v>
      </c>
    </row>
    <row r="82" spans="1:5">
      <c r="A82" s="2">
        <v>46049.0</v>
      </c>
      <c r="B82" t="s">
        <v>5</v>
      </c>
      <c r="C82" t="s">
        <v>63</v>
      </c>
      <c r="D82" s="3">
        <v>-96.0</v>
      </c>
      <c r="E82" t="s">
        <v>79</v>
      </c>
    </row>
    <row r="83" spans="1:5">
      <c r="A83" s="2">
        <v>46049.0</v>
      </c>
      <c r="B83" t="s">
        <v>5</v>
      </c>
      <c r="C83" t="s">
        <v>63</v>
      </c>
      <c r="D83" s="3">
        <v>-96.0</v>
      </c>
      <c r="E83" t="s">
        <v>64</v>
      </c>
    </row>
    <row r="84" spans="1:5">
      <c r="A84" s="2">
        <v>46049.0</v>
      </c>
      <c r="B84" t="s">
        <v>5</v>
      </c>
      <c r="C84" t="s">
        <v>126</v>
      </c>
      <c r="D84" s="3">
        <v>-396.060000000000002</v>
      </c>
      <c r="E84" t="s">
        <v>127</v>
      </c>
    </row>
    <row r="85" spans="1:5">
      <c r="A85" s="2">
        <v>46049.0</v>
      </c>
      <c r="B85" t="s">
        <v>5</v>
      </c>
      <c r="C85" t="s">
        <v>126</v>
      </c>
      <c r="D85" s="3">
        <v>-247.0</v>
      </c>
      <c r="E85" t="s">
        <v>128</v>
      </c>
    </row>
  </sheetData>
  <autoFilter ref="A1:E8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3"/>
  <sheetViews>
    <sheetView tabSelected="1" workbookViewId="0" showGridLines="true" showRowColHeaders="1">
      <selection activeCell="B13" sqref="B13:F13"/>
    </sheetView>
  </sheetViews>
  <sheetFormatPr defaultRowHeight="14.4" outlineLevelRow="0" outlineLevelCol="0"/>
  <cols>
    <col min="2" max="2" width="24.565" bestFit="true" customWidth="true" style="0"/>
    <col min="3" max="3" width="18.71" bestFit="true" customWidth="true" style="0"/>
    <col min="4" max="4" width="24.565" bestFit="true" customWidth="true" style="0"/>
    <col min="5" max="5" width="22.28" bestFit="true" customWidth="true" style="0"/>
    <col min="6" max="6" width="19.995" bestFit="true" customWidth="true" style="0"/>
  </cols>
  <sheetData>
    <row r="2" spans="1:6">
      <c r="B2" s="4" t="s">
        <v>129</v>
      </c>
    </row>
    <row r="4" spans="1:6">
      <c r="B4" s="5" t="s">
        <v>130</v>
      </c>
      <c r="C4" t="s">
        <v>131</v>
      </c>
      <c r="E4" s="5" t="s">
        <v>134</v>
      </c>
      <c r="F4" t="s">
        <v>135</v>
      </c>
    </row>
    <row r="5" spans="1:6">
      <c r="B5" s="5" t="s">
        <v>132</v>
      </c>
      <c r="E5" s="5" t="s">
        <v>136</v>
      </c>
      <c r="F5" t="s">
        <v>137</v>
      </c>
    </row>
    <row r="6" spans="1:6">
      <c r="B6" s="5" t="s">
        <v>133</v>
      </c>
      <c r="E6" s="5" t="s">
        <v>138</v>
      </c>
      <c r="F6" t="s">
        <v>139</v>
      </c>
    </row>
    <row r="9" spans="1:6" customHeight="1" ht="22">
      <c r="B9" s="6" t="s">
        <v>140</v>
      </c>
      <c r="C9" s="8" t="s">
        <v>141</v>
      </c>
      <c r="D9" s="8" t="s">
        <v>142</v>
      </c>
      <c r="E9" s="8" t="s">
        <v>143</v>
      </c>
      <c r="F9" s="10" t="s">
        <v>144</v>
      </c>
    </row>
    <row r="10" spans="1:6">
      <c r="B10" s="7" t="s">
        <v>145</v>
      </c>
      <c r="C10" s="9">
        <v>101561.69000000000233</v>
      </c>
      <c r="D10" s="9">
        <v>101536.69000000000233</v>
      </c>
      <c r="E10" s="9">
        <f>ABS(C10-D10)</f>
        <v>25</v>
      </c>
      <c r="F10" s="11" t="str">
        <f>IF(E10&lt;0.05,"OK","Diferencia")</f>
        <v>Diferencia</v>
      </c>
    </row>
    <row r="11" spans="1:6">
      <c r="B11" s="7" t="s">
        <v>146</v>
      </c>
      <c r="C11" s="9">
        <v>90635.059999999997672</v>
      </c>
      <c r="D11" s="9">
        <v>90660.059999999997672</v>
      </c>
      <c r="E11" s="9">
        <f>ABS(C11-D11)</f>
        <v>25</v>
      </c>
      <c r="F11" s="11" t="str">
        <f>IF(E11&lt;0.05,"OK","Diferencia")</f>
        <v>Diferencia</v>
      </c>
    </row>
    <row r="12" spans="1:6">
      <c r="B12" s="7" t="s">
        <v>147</v>
      </c>
      <c r="C12" s="9">
        <v>90114.059999999997672</v>
      </c>
      <c r="D12" s="9" t="s">
        <v>148</v>
      </c>
      <c r="E12" s="9" t="s">
        <v>149</v>
      </c>
      <c r="F12" s="11" t="s">
        <v>149</v>
      </c>
    </row>
    <row r="13" spans="1:6">
      <c r="B13" s="12" t="s">
        <v>150</v>
      </c>
      <c r="C13" s="13">
        <v>101040.69000000000233</v>
      </c>
      <c r="D13" s="13">
        <f>C12+D10-D11</f>
        <v>100990.69000000000233</v>
      </c>
      <c r="E13" s="13">
        <f>ABS(C13-D13)</f>
        <v>50</v>
      </c>
      <c r="F13" s="14" t="str">
        <f>IF(E13&lt;0.1,"OK","Diferencia")</f>
        <v>Diferencia</v>
      </c>
    </row>
  </sheetData>
  <mergeCells>
    <mergeCell ref="B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Movimientos</vt:lpstr>
      <vt:lpstr>Resumen y Control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2026-07-03T23:55:39+00:00</dcterms:created>
  <dcterms:modified xsi:type="dcterms:W3CDTF">2026-07-03T23:55:39+00:00</dcterms:modified>
  <dc:title>Untitled Spreadsheet</dc:title>
  <dc:description/>
  <dc:subject/>
  <cp:keywords/>
  <cp:category/>
</cp:coreProperties>
</file>